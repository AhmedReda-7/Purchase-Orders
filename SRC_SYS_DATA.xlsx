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CUST" sheetId="1" r:id="rId1"/>
    <sheet name="EMP" sheetId="2" r:id="rId2"/>
    <sheet name="PO" sheetId="3" r:id="rId3"/>
  </sheets>
  <calcPr calcId="162913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3" i="1" l="1"/>
  <c r="I4" i="1"/>
  <c r="I5" i="1"/>
  <c r="I6" i="1"/>
  <c r="I7" i="1"/>
  <c r="I8" i="1"/>
  <c r="I9" i="1"/>
  <c r="I10" i="1"/>
  <c r="I11" i="1"/>
  <c r="I2" i="1"/>
  <c r="F4" i="3" l="1"/>
  <c r="F8" i="3"/>
  <c r="F9" i="3"/>
  <c r="F11" i="3"/>
  <c r="F17" i="3"/>
  <c r="F26" i="3"/>
  <c r="B3" i="3"/>
  <c r="F3" i="3" s="1"/>
  <c r="B4" i="3"/>
  <c r="B5" i="3"/>
  <c r="F5" i="3" s="1"/>
  <c r="B6" i="3"/>
  <c r="F6" i="3" s="1"/>
  <c r="B7" i="3"/>
  <c r="F7" i="3" s="1"/>
  <c r="B8" i="3"/>
  <c r="B9" i="3"/>
  <c r="B10" i="3"/>
  <c r="F10" i="3" s="1"/>
  <c r="B11" i="3"/>
  <c r="B12" i="3"/>
  <c r="F12" i="3" s="1"/>
  <c r="B13" i="3"/>
  <c r="F13" i="3" s="1"/>
  <c r="B14" i="3"/>
  <c r="F14" i="3" s="1"/>
  <c r="B15" i="3"/>
  <c r="F15" i="3" s="1"/>
  <c r="B16" i="3"/>
  <c r="F16" i="3" s="1"/>
  <c r="B17" i="3"/>
  <c r="B18" i="3"/>
  <c r="F18" i="3" s="1"/>
  <c r="B19" i="3"/>
  <c r="F19" i="3" s="1"/>
  <c r="B20" i="3"/>
  <c r="F20" i="3" s="1"/>
  <c r="B21" i="3"/>
  <c r="F21" i="3" s="1"/>
  <c r="B22" i="3"/>
  <c r="F22" i="3" s="1"/>
  <c r="B23" i="3"/>
  <c r="F23" i="3" s="1"/>
  <c r="B24" i="3"/>
  <c r="F24" i="3" s="1"/>
  <c r="B25" i="3"/>
  <c r="F25" i="3" s="1"/>
  <c r="B26" i="3"/>
  <c r="B2" i="3"/>
  <c r="F2" i="3" s="1"/>
</calcChain>
</file>

<file path=xl/sharedStrings.xml><?xml version="1.0" encoding="utf-8"?>
<sst xmlns="http://schemas.openxmlformats.org/spreadsheetml/2006/main" count="308" uniqueCount="176">
  <si>
    <t>CUST_ID</t>
  </si>
  <si>
    <t>FULL_NAME</t>
  </si>
  <si>
    <t>FULL_NAME_OL</t>
  </si>
  <si>
    <t>CUST_SINCE_DATE</t>
  </si>
  <si>
    <t>CUST_TYPE</t>
  </si>
  <si>
    <t>ADDRESS</t>
  </si>
  <si>
    <t>EMAIL</t>
  </si>
  <si>
    <t>TELEPHONE_NUMBER</t>
  </si>
  <si>
    <t>001</t>
  </si>
  <si>
    <t>002</t>
  </si>
  <si>
    <t>003</t>
  </si>
  <si>
    <t>Ali Abdullah</t>
  </si>
  <si>
    <t>Mohammed Fawzy</t>
  </si>
  <si>
    <t>Farid Eldakrory</t>
  </si>
  <si>
    <t>XYZ Company</t>
  </si>
  <si>
    <t>004</t>
  </si>
  <si>
    <t>005</t>
  </si>
  <si>
    <t>Gad Restaurant</t>
  </si>
  <si>
    <t>006</t>
  </si>
  <si>
    <t>Heba Ahmed</t>
  </si>
  <si>
    <t>007</t>
  </si>
  <si>
    <t>Ahmed Said</t>
  </si>
  <si>
    <t>Sayed Elshamandori</t>
  </si>
  <si>
    <t>008</t>
  </si>
  <si>
    <t>009</t>
  </si>
  <si>
    <t>010</t>
  </si>
  <si>
    <t>ABC For Import &amp; Export</t>
  </si>
  <si>
    <t>Khaled Yehia</t>
  </si>
  <si>
    <t>فريد الدكروري</t>
  </si>
  <si>
    <t>محمد فوزي</t>
  </si>
  <si>
    <t>علي عبدالله</t>
  </si>
  <si>
    <t>شركة إكس واي زد</t>
  </si>
  <si>
    <t>مطاعم جاد</t>
  </si>
  <si>
    <t>هبة أحمد</t>
  </si>
  <si>
    <t>أحمد سعيد</t>
  </si>
  <si>
    <t>سيد الشمندوري</t>
  </si>
  <si>
    <t>إيه بي سي للإستيراد و التصدير</t>
  </si>
  <si>
    <t>خالد يحيى</t>
  </si>
  <si>
    <t>01/02/2017</t>
  </si>
  <si>
    <t>20070225</t>
  </si>
  <si>
    <t>27/02/2018</t>
  </si>
  <si>
    <t>01/01/2000</t>
  </si>
  <si>
    <t>24-Mar-2005</t>
  </si>
  <si>
    <t>21/05/2018</t>
  </si>
  <si>
    <t>01/01/2011</t>
  </si>
  <si>
    <t>20030426</t>
  </si>
  <si>
    <t>22/02/2010</t>
  </si>
  <si>
    <t>28/06/2015</t>
  </si>
  <si>
    <t>xyz</t>
  </si>
  <si>
    <t>8 Galeel Elbendari St. - Sporting, Alexandria</t>
  </si>
  <si>
    <t>سموحة</t>
  </si>
  <si>
    <t>Stanley, elkornesh</t>
  </si>
  <si>
    <t>Sidi Bishr</t>
  </si>
  <si>
    <t>Maadi, Cairo</t>
  </si>
  <si>
    <t>Moharram Bek, Alexandria</t>
  </si>
  <si>
    <t>سبورتنج - الإسكندرية</t>
  </si>
  <si>
    <t>R</t>
  </si>
  <si>
    <t>C</t>
  </si>
  <si>
    <t>abcd@xyz.xyz</t>
  </si>
  <si>
    <t>xxxxxxxxxxx</t>
  </si>
  <si>
    <t>00000000000</t>
  </si>
  <si>
    <t>11111111111</t>
  </si>
  <si>
    <t>EMP_ID</t>
  </si>
  <si>
    <t>HIRE_DATE</t>
  </si>
  <si>
    <t>102345</t>
  </si>
  <si>
    <t>100220</t>
  </si>
  <si>
    <t>203748</t>
  </si>
  <si>
    <t>324315</t>
  </si>
  <si>
    <t>782767</t>
  </si>
  <si>
    <t>789578</t>
  </si>
  <si>
    <t>978283</t>
  </si>
  <si>
    <t>123238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</si>
  <si>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</si>
  <si>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</si>
  <si>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</si>
  <si>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</si>
  <si>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</si>
  <si>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</si>
  <si>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</si>
  <si>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</si>
  <si>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موظف 1</t>
  </si>
  <si>
    <t>موظف 2</t>
  </si>
  <si>
    <t>موظف 3</t>
  </si>
  <si>
    <t>موظف 4</t>
  </si>
  <si>
    <t>موظف 5</t>
  </si>
  <si>
    <t>موظف 6</t>
  </si>
  <si>
    <t>موظف 7</t>
  </si>
  <si>
    <t>موظف 8</t>
  </si>
  <si>
    <t>1/1/2001</t>
  </si>
  <si>
    <t>emp.1@company.com</t>
  </si>
  <si>
    <t>emp.2@company.com</t>
  </si>
  <si>
    <t>emp.3@company.com</t>
  </si>
  <si>
    <t>emp.4@company.com</t>
  </si>
  <si>
    <t>emp.5@company.com</t>
  </si>
  <si>
    <t>emp.6@company.com</t>
  </si>
  <si>
    <t>emp.7@company.com</t>
  </si>
  <si>
    <t>emp.8@company.com</t>
  </si>
  <si>
    <t>PO_DATE</t>
  </si>
  <si>
    <t>PO_SERIAL</t>
  </si>
  <si>
    <t>PO_EMP_ID</t>
  </si>
  <si>
    <t>PO_CUST_ID</t>
  </si>
  <si>
    <t>PO_QUANTITY</t>
  </si>
  <si>
    <t>PO_UNIT_PRICE</t>
  </si>
  <si>
    <t>PO_TOTAL_PRICE</t>
  </si>
  <si>
    <t>PO_ITEM_DESC</t>
  </si>
  <si>
    <t>PO_BILL_NUMBER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</si>
  <si>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</si>
  <si>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</si>
  <si>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</si>
  <si>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</si>
  <si>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</si>
  <si>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</si>
  <si>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</si>
  <si>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</si>
  <si>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</si>
  <si>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</si>
  <si>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</si>
  <si>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</si>
  <si>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</si>
  <si>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</si>
  <si>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</si>
  <si>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</si>
  <si>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</si>
  <si>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</si>
  <si>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</si>
  <si>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</si>
  <si>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</si>
  <si>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</si>
  <si>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</si>
  <si>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</si>
  <si>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</si>
  <si>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</t>
  </si>
  <si>
    <t>20080111</t>
  </si>
  <si>
    <t>20010101</t>
  </si>
  <si>
    <t>20180612</t>
  </si>
  <si>
    <t>20160523</t>
  </si>
  <si>
    <t>20110109</t>
  </si>
  <si>
    <t>20150423</t>
  </si>
  <si>
    <t>20000102</t>
  </si>
  <si>
    <t>20180823</t>
  </si>
  <si>
    <t>20170723</t>
  </si>
  <si>
    <t>20120101</t>
  </si>
  <si>
    <t>20120304</t>
  </si>
  <si>
    <t>20130908</t>
  </si>
  <si>
    <t>20101002</t>
  </si>
  <si>
    <t>20080304</t>
  </si>
  <si>
    <t>20000505</t>
  </si>
  <si>
    <t>20140626</t>
  </si>
  <si>
    <t>20180101</t>
  </si>
  <si>
    <t>20180109</t>
  </si>
  <si>
    <t>20181002</t>
  </si>
  <si>
    <t>20180909</t>
  </si>
  <si>
    <t>20180304</t>
  </si>
  <si>
    <t>20170403</t>
  </si>
  <si>
    <t>10</t>
  </si>
  <si>
    <t>12</t>
  </si>
  <si>
    <t>145</t>
  </si>
  <si>
    <t>23</t>
  </si>
  <si>
    <t>45</t>
  </si>
  <si>
    <t>65</t>
  </si>
  <si>
    <t>89</t>
  </si>
  <si>
    <t>800</t>
  </si>
  <si>
    <t>10000</t>
  </si>
  <si>
    <t>43</t>
  </si>
  <si>
    <t>24</t>
  </si>
  <si>
    <t>90</t>
  </si>
  <si>
    <t>60</t>
  </si>
  <si>
    <t>40</t>
  </si>
  <si>
    <t>1234</t>
  </si>
  <si>
    <t>435</t>
  </si>
  <si>
    <t>80</t>
  </si>
  <si>
    <t>100</t>
  </si>
  <si>
    <t>120</t>
  </si>
  <si>
    <t>320</t>
  </si>
  <si>
    <t>560</t>
  </si>
  <si>
    <t>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</si>
</sst>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2" sqref="I2"/>
    </sheetView>
  </sheetViews>
  <sheetFormatPr defaultRowHeight="14.4" x14ac:dyDescent="0.3"/>
  <cols>
    <col min="1" max="1" width="13" style="1" customWidth="1"/>
    <col min="2" max="2" width="21.33203125" style="1" bestFit="1" customWidth="1"/>
    <col min="3" max="3" width="19.44140625" style="1" customWidth="1"/>
    <col min="4" max="4" width="19.5546875" style="1" customWidth="1"/>
    <col min="5" max="5" width="36.44140625" style="1" bestFit="1" customWidth="1"/>
    <col min="6" max="6" width="13" style="1" customWidth="1"/>
    <col min="7" max="7" width="12.33203125" style="1" bestFit="1" customWidth="1"/>
    <col min="8" max="8" width="19.5546875" style="1" bestFit="1" customWidth="1"/>
    <col min="9" max="9" width="45.6640625" style="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</row>
    <row r="2" spans="1:9" x14ac:dyDescent="0.3">
      <c r="A2" s="1" t="s">
        <v>8</v>
      </c>
      <c r="B2" s="1" t="s">
        <v>13</v>
      </c>
      <c r="C2" s="1" t="s">
        <v>28</v>
      </c>
      <c r="D2" s="1" t="s">
        <v>38</v>
      </c>
      <c r="E2" s="1" t="s">
        <v>48</v>
      </c>
      <c r="F2" s="1" t="s">
        <v>56</v>
      </c>
      <c r="G2" t="s">
        <v>58</v>
      </c>
      <c r="H2" s="1" t="s">
        <v>59</v>
      </c>
      <c r="I2" s="3" t="str">
        <f>"insert into CUST values ('" &amp; A2 &amp; "', '" &amp; B2 &amp; "', '" &amp; C2 &amp; "', '" &amp; D2 &amp; "', '" &amp; E2 &amp; "', '" &amp; F2 &amp; "', '" &amp; G2 &amp; "', '" &amp; H2 &amp; "');"</f>
        <v>insert into CUST values ('001', 'Farid Eldakrory', 'فريد الدكروري', '01/02/2017', 'xyz', 'R', 'abcd@xyz.xyz', 'xxxxxxxxxxx');</v>
      </c>
    </row>
    <row r="3" spans="1:9" x14ac:dyDescent="0.3">
      <c r="A3" s="1" t="s">
        <v>9</v>
      </c>
      <c r="B3" s="1" t="s">
        <v>12</v>
      </c>
      <c r="C3" s="1" t="s">
        <v>29</v>
      </c>
      <c r="D3" s="1" t="s">
        <v>39</v>
      </c>
      <c r="E3" s="1" t="s">
        <v>49</v>
      </c>
      <c r="F3" s="1" t="s">
        <v>56</v>
      </c>
      <c r="G3" t="s">
        <v>58</v>
      </c>
      <c r="H3" s="1" t="s">
        <v>60</v>
      </c>
      <c r="I3" s="3" t="str">
        <f t="shared" ref="I3:I11" si="0">"insert into CUST values ('" &amp; A3 &amp; "', '" &amp; B3 &amp; "', '" &amp; C3 &amp; "', '" &amp; D3 &amp; "', '" &amp; E3 &amp; "', '" &amp; F3 &amp; "', '" &amp; G3 &amp; "', '" &amp; H3 &amp; "');"</f>
        <v>insert into CUST values ('002', 'Mohammed Fawzy', 'محمد فوزي', '20070225', '8 Galeel Elbendari St. - Sporting, Alexandria', 'R', 'abcd@xyz.xyz', '00000000000');</v>
      </c>
    </row>
    <row r="4" spans="1:9" x14ac:dyDescent="0.3">
      <c r="A4" s="1" t="s">
        <v>10</v>
      </c>
      <c r="B4" s="1" t="s">
        <v>11</v>
      </c>
      <c r="C4" s="1" t="s">
        <v>30</v>
      </c>
      <c r="D4" s="1" t="s">
        <v>40</v>
      </c>
      <c r="F4" s="1" t="s">
        <v>57</v>
      </c>
      <c r="G4" t="s">
        <v>58</v>
      </c>
      <c r="I4" s="3" t="str">
        <f t="shared" si="0"/>
        <v>insert into CUST values ('003', 'Ali Abdullah', 'علي عبدالله', '27/02/2018', '', 'C', 'abcd@xyz.xyz', '');</v>
      </c>
    </row>
    <row r="5" spans="1:9" x14ac:dyDescent="0.3">
      <c r="A5" s="1" t="s">
        <v>15</v>
      </c>
      <c r="B5" s="1" t="s">
        <v>14</v>
      </c>
      <c r="C5" s="1" t="s">
        <v>31</v>
      </c>
      <c r="D5" s="1" t="s">
        <v>41</v>
      </c>
      <c r="E5" s="1" t="s">
        <v>50</v>
      </c>
      <c r="F5" s="1" t="s">
        <v>57</v>
      </c>
      <c r="G5"/>
      <c r="I5" s="3" t="str">
        <f t="shared" si="0"/>
        <v>insert into CUST values ('004', 'XYZ Company', 'شركة إكس واي زد', '01/01/2000', 'سموحة', 'C', '', '');</v>
      </c>
    </row>
    <row r="6" spans="1:9" x14ac:dyDescent="0.3">
      <c r="A6" s="1" t="s">
        <v>16</v>
      </c>
      <c r="B6" s="1" t="s">
        <v>17</v>
      </c>
      <c r="C6" s="1" t="s">
        <v>32</v>
      </c>
      <c r="D6" s="1" t="s">
        <v>42</v>
      </c>
      <c r="E6" s="1" t="s">
        <v>51</v>
      </c>
      <c r="F6" s="1" t="s">
        <v>57</v>
      </c>
      <c r="G6" t="s">
        <v>58</v>
      </c>
      <c r="I6" s="3" t="str">
        <f t="shared" si="0"/>
        <v>insert into CUST values ('005', 'Gad Restaurant', 'مطاعم جاد', '24-Mar-2005', 'Stanley, elkornesh', 'C', 'abcd@xyz.xyz', '');</v>
      </c>
    </row>
    <row r="7" spans="1:9" x14ac:dyDescent="0.3">
      <c r="A7" s="1" t="s">
        <v>18</v>
      </c>
      <c r="B7" s="1" t="s">
        <v>19</v>
      </c>
      <c r="C7" s="1" t="s">
        <v>33</v>
      </c>
      <c r="D7" s="1" t="s">
        <v>43</v>
      </c>
      <c r="F7" s="1" t="s">
        <v>56</v>
      </c>
      <c r="G7" t="s">
        <v>58</v>
      </c>
      <c r="H7" s="1" t="s">
        <v>59</v>
      </c>
      <c r="I7" s="3" t="str">
        <f t="shared" si="0"/>
        <v>insert into CUST values ('006', 'Heba Ahmed', 'هبة أحمد', '21/05/2018', '', 'R', 'abcd@xyz.xyz', 'xxxxxxxxxxx');</v>
      </c>
    </row>
    <row r="8" spans="1:9" x14ac:dyDescent="0.3">
      <c r="A8" s="1" t="s">
        <v>20</v>
      </c>
      <c r="B8" s="1" t="s">
        <v>21</v>
      </c>
      <c r="C8" s="1" t="s">
        <v>34</v>
      </c>
      <c r="D8" s="1" t="s">
        <v>44</v>
      </c>
      <c r="E8" s="1" t="s">
        <v>52</v>
      </c>
      <c r="F8" s="1" t="s">
        <v>56</v>
      </c>
      <c r="I8" s="3" t="str">
        <f t="shared" si="0"/>
        <v>insert into CUST values ('007', 'Ahmed Said', 'أحمد سعيد', '01/01/2011', 'Sidi Bishr', 'R', '', '');</v>
      </c>
    </row>
    <row r="9" spans="1:9" x14ac:dyDescent="0.3">
      <c r="A9" s="1" t="s">
        <v>23</v>
      </c>
      <c r="B9" s="1" t="s">
        <v>22</v>
      </c>
      <c r="C9" s="1" t="s">
        <v>35</v>
      </c>
      <c r="D9" s="1" t="s">
        <v>45</v>
      </c>
      <c r="E9" s="1" t="s">
        <v>53</v>
      </c>
      <c r="F9" s="1" t="s">
        <v>57</v>
      </c>
      <c r="I9" s="3" t="str">
        <f t="shared" si="0"/>
        <v>insert into CUST values ('008', 'Sayed Elshamandori', 'سيد الشمندوري', '20030426', 'Maadi, Cairo', 'C', '', '');</v>
      </c>
    </row>
    <row r="10" spans="1:9" x14ac:dyDescent="0.3">
      <c r="A10" s="1" t="s">
        <v>24</v>
      </c>
      <c r="B10" s="1" t="s">
        <v>26</v>
      </c>
      <c r="C10" s="1" t="s">
        <v>36</v>
      </c>
      <c r="D10" s="1" t="s">
        <v>46</v>
      </c>
      <c r="E10" s="1" t="s">
        <v>54</v>
      </c>
      <c r="F10" s="1" t="s">
        <v>57</v>
      </c>
      <c r="G10" t="s">
        <v>58</v>
      </c>
      <c r="H10" s="1" t="s">
        <v>59</v>
      </c>
      <c r="I10" s="3" t="str">
        <f t="shared" si="0"/>
        <v>insert into CUST values ('009', 'ABC For Import &amp; Export', 'إيه بي سي للإستيراد و التصدير', '22/02/2010', 'Moharram Bek, Alexandria', 'C', 'abcd@xyz.xyz', 'xxxxxxxxxxx');</v>
      </c>
    </row>
    <row r="11" spans="1:9" x14ac:dyDescent="0.3">
      <c r="A11" s="1" t="s">
        <v>25</v>
      </c>
      <c r="B11" s="1" t="s">
        <v>27</v>
      </c>
      <c r="C11" s="1" t="s">
        <v>37</v>
      </c>
      <c r="D11" s="1" t="s">
        <v>47</v>
      </c>
      <c r="E11" s="1" t="s">
        <v>55</v>
      </c>
      <c r="F11" s="1" t="s">
        <v>56</v>
      </c>
      <c r="G11" t="s">
        <v>58</v>
      </c>
      <c r="H11" s="1" t="s">
        <v>61</v>
      </c>
      <c r="I11" s="3" t="str">
        <f t="shared" si="0"/>
        <v>insert into CUST values ('010', 'Khaled Yehia', 'خالد يحيى', '28/06/2015', 'سبورتنج - الإسكندرية', 'R', 'abcd@xyz.xyz', '11111111111');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10" sqref="F10"/>
    </sheetView>
  </sheetViews>
  <sheetFormatPr defaultRowHeight="14.4" x14ac:dyDescent="0.3"/>
  <cols>
    <col min="1" max="1" width="7.44140625" style="1" bestFit="1" customWidth="1"/>
    <col min="2" max="2" width="11.109375" style="1" bestFit="1" customWidth="1"/>
    <col min="3" max="3" width="14.44140625" style="1" bestFit="1" customWidth="1"/>
    <col min="4" max="4" width="10.21875" style="1" bestFit="1" customWidth="1"/>
    <col min="5" max="5" width="19.6640625" style="1" bestFit="1" customWidth="1"/>
    <col min="6" max="6" width="19.5546875" style="1" bestFit="1" customWidth="1"/>
    <col min="7" max="7" width="75.6640625" style="2" bestFit="1" customWidth="1"/>
  </cols>
  <sheetData>
    <row r="1" spans="1:7" x14ac:dyDescent="0.3">
      <c r="A1" s="1" t="s">
        <v>62</v>
      </c>
      <c r="B1" s="1" t="s">
        <v>1</v>
      </c>
      <c r="C1" s="1" t="s">
        <v>2</v>
      </c>
      <c r="D1" s="1" t="s">
        <v>63</v>
      </c>
      <c r="E1" s="1" t="s">
        <v>6</v>
      </c>
      <c r="F1" s="1" t="s">
        <v>7</v>
      </c>
    </row>
    <row r="2" spans="1:7" x14ac:dyDescent="0.3">
      <c r="A2" s="1" t="s">
        <v>65</v>
      </c>
      <c r="B2" s="1" t="s">
        <v>72</v>
      </c>
      <c r="C2" s="1" t="s">
        <v>80</v>
      </c>
      <c r="D2" s="1" t="s">
        <v>88</v>
      </c>
      <c r="E2" t="s">
        <v>89</v>
      </c>
      <c r="G2" s="2" t="str">
        <f>"insert into EMP values ('" &amp; A2 &amp; "', '" &amp; B2 &amp; "', '" &amp; C2 &amp; "', '" &amp; D2 &amp; "', '" &amp; E2 &amp; "', '" &amp; F2 &amp; "');"</f>
        <v>insert into EMP values ('100220', 'Emp 1', 'موظف 1', '1/1/2001', 'emp.1@company.com', '');</v>
      </c>
    </row>
    <row r="3" spans="1:7" x14ac:dyDescent="0.3">
      <c r="A3" s="1" t="s">
        <v>64</v>
      </c>
      <c r="B3" s="1" t="s">
        <v>73</v>
      </c>
      <c r="C3" s="1" t="s">
        <v>81</v>
      </c>
      <c r="D3" s="1" t="s">
        <v>88</v>
      </c>
      <c r="E3" t="s">
        <v>90</v>
      </c>
      <c r="G3" s="2" t="str">
        <f t="shared" ref="G3:G9" si="0">"insert into EMP values ('" &amp; A3 &amp; "', '" &amp; B3 &amp; "', '" &amp; C3 &amp; "', '" &amp; D3 &amp; "', '" &amp; E3 &amp; "', '" &amp; F3 &amp; "');"</f>
        <v>insert into EMP values ('102345', 'Emp 2', 'موظف 2', '1/1/2001', 'emp.2@company.com', '');</v>
      </c>
    </row>
    <row r="4" spans="1:7" x14ac:dyDescent="0.3">
      <c r="A4" s="1" t="s">
        <v>66</v>
      </c>
      <c r="B4" s="1" t="s">
        <v>74</v>
      </c>
      <c r="C4" s="1" t="s">
        <v>82</v>
      </c>
      <c r="D4" s="1" t="s">
        <v>88</v>
      </c>
      <c r="E4" t="s">
        <v>91</v>
      </c>
      <c r="G4" s="2" t="str">
        <f t="shared" si="0"/>
        <v>insert into EMP values ('203748', 'Emp 3', 'موظف 3', '1/1/2001', 'emp.3@company.com', '');</v>
      </c>
    </row>
    <row r="5" spans="1:7" x14ac:dyDescent="0.3">
      <c r="A5" s="1" t="s">
        <v>67</v>
      </c>
      <c r="B5" s="1" t="s">
        <v>75</v>
      </c>
      <c r="C5" s="1" t="s">
        <v>83</v>
      </c>
      <c r="D5" s="1" t="s">
        <v>88</v>
      </c>
      <c r="E5" t="s">
        <v>92</v>
      </c>
      <c r="G5" s="2" t="str">
        <f t="shared" si="0"/>
        <v>insert into EMP values ('324315', 'Emp 4', 'موظف 4', '1/1/2001', 'emp.4@company.com', '');</v>
      </c>
    </row>
    <row r="6" spans="1:7" x14ac:dyDescent="0.3">
      <c r="A6" s="1" t="s">
        <v>68</v>
      </c>
      <c r="B6" s="1" t="s">
        <v>76</v>
      </c>
      <c r="C6" s="1" t="s">
        <v>84</v>
      </c>
      <c r="D6" s="1" t="s">
        <v>88</v>
      </c>
      <c r="E6" t="s">
        <v>93</v>
      </c>
      <c r="G6" s="2" t="str">
        <f t="shared" si="0"/>
        <v>insert into EMP values ('782767', 'Emp 5', 'موظف 5', '1/1/2001', 'emp.5@company.com', '');</v>
      </c>
    </row>
    <row r="7" spans="1:7" x14ac:dyDescent="0.3">
      <c r="A7" s="1" t="s">
        <v>69</v>
      </c>
      <c r="B7" s="1" t="s">
        <v>77</v>
      </c>
      <c r="C7" s="1" t="s">
        <v>85</v>
      </c>
      <c r="D7" s="1" t="s">
        <v>88</v>
      </c>
      <c r="E7" t="s">
        <v>94</v>
      </c>
      <c r="G7" s="2" t="str">
        <f t="shared" si="0"/>
        <v>insert into EMP values ('789578', 'Emp 6', 'موظف 6', '1/1/2001', 'emp.6@company.com', '');</v>
      </c>
    </row>
    <row r="8" spans="1:7" x14ac:dyDescent="0.3">
      <c r="A8" s="1" t="s">
        <v>70</v>
      </c>
      <c r="B8" s="1" t="s">
        <v>78</v>
      </c>
      <c r="C8" s="1" t="s">
        <v>86</v>
      </c>
      <c r="D8" s="1" t="s">
        <v>88</v>
      </c>
      <c r="E8" t="s">
        <v>95</v>
      </c>
      <c r="G8" s="2" t="str">
        <f t="shared" si="0"/>
        <v>insert into EMP values ('978283', 'Emp 7', 'موظف 7', '1/1/2001', 'emp.7@company.com', '');</v>
      </c>
    </row>
    <row r="9" spans="1:7" x14ac:dyDescent="0.3">
      <c r="A9" s="1" t="s">
        <v>71</v>
      </c>
      <c r="B9" s="1" t="s">
        <v>79</v>
      </c>
      <c r="C9" s="1" t="s">
        <v>87</v>
      </c>
      <c r="D9" s="1" t="s">
        <v>88</v>
      </c>
      <c r="E9" t="s">
        <v>96</v>
      </c>
      <c r="G9" s="2" t="str">
        <f t="shared" si="0"/>
        <v>insert into EMP values ('123238', 'Emp 8', 'موظف 8', '1/1/2001', 'emp.8@company.com', '');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4.4" x14ac:dyDescent="0.3"/>
  <cols>
    <col min="1" max="1" width="13.77734375" style="1" customWidth="1"/>
    <col min="2" max="2" width="21.44140625" style="2" customWidth="1"/>
    <col min="3" max="3" width="14.6640625" style="1" customWidth="1"/>
    <col min="4" max="4" width="13.33203125" style="1" customWidth="1"/>
    <col min="5" max="5" width="15.33203125" style="1" customWidth="1"/>
    <col min="6" max="6" width="35.88671875" style="2" customWidth="1"/>
    <col min="7" max="7" width="14.21875" style="1" customWidth="1"/>
    <col min="8" max="8" width="14.44140625" style="1" bestFit="1" customWidth="1"/>
    <col min="9" max="9" width="15.5546875" style="1" bestFit="1" customWidth="1"/>
  </cols>
  <sheetData>
    <row r="1" spans="1:9" x14ac:dyDescent="0.3">
      <c r="A1" s="1" t="s">
        <v>98</v>
      </c>
      <c r="B1" s="2" t="s">
        <v>105</v>
      </c>
      <c r="C1" s="1" t="s">
        <v>97</v>
      </c>
      <c r="D1" s="1" t="s">
        <v>99</v>
      </c>
      <c r="E1" s="1" t="s">
        <v>100</v>
      </c>
      <c r="F1" s="2" t="s">
        <v>104</v>
      </c>
      <c r="G1" s="1" t="s">
        <v>101</v>
      </c>
      <c r="H1" s="1" t="s">
        <v>102</v>
      </c>
      <c r="I1" s="1" t="s">
        <v>103</v>
      </c>
    </row>
    <row r="2" spans="1:9" x14ac:dyDescent="0.3">
      <c r="A2" s="1" t="s">
        <v>106</v>
      </c>
      <c r="B2" s="2" t="str">
        <f>A2 &amp; "-" &amp; D2 &amp; "-" &amp; E2</f>
        <v>100001-782767-001</v>
      </c>
      <c r="C2" s="1" t="s">
        <v>132</v>
      </c>
      <c r="D2" s="1" t="s">
        <v>68</v>
      </c>
      <c r="E2" s="1" t="s">
        <v>8</v>
      </c>
      <c r="F2" s="2" t="str">
        <f>"Bill: " &amp; B2 &amp; ", Item: 1"</f>
        <v>Bill: 100001-782767-001, Item: 1</v>
      </c>
      <c r="G2" s="1" t="s">
        <v>131</v>
      </c>
      <c r="H2" s="1" t="s">
        <v>154</v>
      </c>
      <c r="I2" s="1" t="s">
        <v>154</v>
      </c>
    </row>
    <row r="3" spans="1:9" x14ac:dyDescent="0.3">
      <c r="A3" s="1" t="s">
        <v>107</v>
      </c>
      <c r="B3" s="2" t="str">
        <f t="shared" ref="B3:B26" si="0">A3 &amp; "-" &amp; D3 &amp; "-" &amp; E3</f>
        <v>100002-782767-001</v>
      </c>
      <c r="C3" s="1" t="s">
        <v>132</v>
      </c>
      <c r="D3" s="1" t="s">
        <v>68</v>
      </c>
      <c r="E3" s="1" t="s">
        <v>8</v>
      </c>
      <c r="F3" s="2" t="str">
        <f>"Bill: " &amp; B3 &amp; ", Item: 2"</f>
        <v>Bill: 100002-782767-001, Item: 2</v>
      </c>
      <c r="G3" s="1" t="s">
        <v>131</v>
      </c>
      <c r="H3" s="1" t="s">
        <v>155</v>
      </c>
      <c r="I3" s="1" t="s">
        <v>155</v>
      </c>
    </row>
    <row r="4" spans="1:9" x14ac:dyDescent="0.3">
      <c r="A4" s="1" t="s">
        <v>108</v>
      </c>
      <c r="B4" s="2" t="str">
        <f t="shared" si="0"/>
        <v>100003-978283-003</v>
      </c>
      <c r="C4" s="1" t="s">
        <v>133</v>
      </c>
      <c r="D4" s="1" t="s">
        <v>70</v>
      </c>
      <c r="E4" s="1" t="s">
        <v>10</v>
      </c>
      <c r="F4" s="2" t="str">
        <f t="shared" ref="F4:F26" si="1">"Bill: " &amp; B4 &amp; ", Item: 1"</f>
        <v>Bill: 100003-978283-003, Item: 1</v>
      </c>
      <c r="G4" s="1" t="s">
        <v>131</v>
      </c>
      <c r="H4" s="1" t="s">
        <v>156</v>
      </c>
      <c r="I4" s="1" t="s">
        <v>156</v>
      </c>
    </row>
    <row r="5" spans="1:9" x14ac:dyDescent="0.3">
      <c r="A5" s="1" t="s">
        <v>109</v>
      </c>
      <c r="B5" s="2" t="str">
        <f t="shared" si="0"/>
        <v>100004-100220-004</v>
      </c>
      <c r="C5" s="1" t="s">
        <v>134</v>
      </c>
      <c r="D5" s="1" t="s">
        <v>65</v>
      </c>
      <c r="E5" s="1" t="s">
        <v>15</v>
      </c>
      <c r="F5" s="2" t="str">
        <f t="shared" si="1"/>
        <v>Bill: 100004-100220-004, Item: 1</v>
      </c>
      <c r="G5" s="1" t="s">
        <v>131</v>
      </c>
      <c r="H5" s="1" t="s">
        <v>157</v>
      </c>
      <c r="I5" s="1" t="s">
        <v>157</v>
      </c>
    </row>
    <row r="6" spans="1:9" x14ac:dyDescent="0.3">
      <c r="A6" s="1" t="s">
        <v>110</v>
      </c>
      <c r="B6" s="2" t="str">
        <f t="shared" si="0"/>
        <v>100005-102345-005</v>
      </c>
      <c r="C6" s="1" t="s">
        <v>135</v>
      </c>
      <c r="D6" s="1" t="s">
        <v>64</v>
      </c>
      <c r="E6" s="1" t="s">
        <v>16</v>
      </c>
      <c r="F6" s="2" t="str">
        <f t="shared" si="1"/>
        <v>Bill: 100005-102345-005, Item: 1</v>
      </c>
      <c r="G6" s="1" t="s">
        <v>131</v>
      </c>
      <c r="H6" s="1" t="s">
        <v>158</v>
      </c>
      <c r="I6" s="1" t="s">
        <v>158</v>
      </c>
    </row>
    <row r="7" spans="1:9" x14ac:dyDescent="0.3">
      <c r="A7" s="1" t="s">
        <v>111</v>
      </c>
      <c r="B7" s="2" t="str">
        <f t="shared" si="0"/>
        <v>100006-102345-006</v>
      </c>
      <c r="C7" s="1" t="s">
        <v>136</v>
      </c>
      <c r="D7" s="1" t="s">
        <v>64</v>
      </c>
      <c r="E7" s="1" t="s">
        <v>18</v>
      </c>
      <c r="F7" s="2" t="str">
        <f t="shared" si="1"/>
        <v>Bill: 100006-102345-006, Item: 1</v>
      </c>
      <c r="G7" s="1" t="s">
        <v>131</v>
      </c>
      <c r="H7" s="1" t="s">
        <v>159</v>
      </c>
      <c r="I7" s="1" t="s">
        <v>159</v>
      </c>
    </row>
    <row r="8" spans="1:9" x14ac:dyDescent="0.3">
      <c r="A8" s="1" t="s">
        <v>112</v>
      </c>
      <c r="B8" s="2" t="str">
        <f t="shared" si="0"/>
        <v>100007-100220-007</v>
      </c>
      <c r="C8" s="1" t="s">
        <v>138</v>
      </c>
      <c r="D8" s="1" t="s">
        <v>65</v>
      </c>
      <c r="E8" s="1" t="s">
        <v>20</v>
      </c>
      <c r="F8" s="2" t="str">
        <f t="shared" si="1"/>
        <v>Bill: 100007-100220-007, Item: 1</v>
      </c>
      <c r="G8" s="1" t="s">
        <v>131</v>
      </c>
      <c r="H8" s="1" t="s">
        <v>160</v>
      </c>
      <c r="I8" s="1" t="s">
        <v>160</v>
      </c>
    </row>
    <row r="9" spans="1:9" x14ac:dyDescent="0.3">
      <c r="A9" s="1" t="s">
        <v>113</v>
      </c>
      <c r="B9" s="2" t="str">
        <f t="shared" si="0"/>
        <v>100008-100220-008</v>
      </c>
      <c r="C9" s="1" t="s">
        <v>139</v>
      </c>
      <c r="D9" s="1" t="s">
        <v>65</v>
      </c>
      <c r="E9" s="1" t="s">
        <v>23</v>
      </c>
      <c r="F9" s="2" t="str">
        <f t="shared" si="1"/>
        <v>Bill: 100008-100220-008, Item: 1</v>
      </c>
      <c r="G9" s="1" t="s">
        <v>131</v>
      </c>
      <c r="H9" s="1" t="s">
        <v>161</v>
      </c>
      <c r="I9" s="1" t="s">
        <v>161</v>
      </c>
    </row>
    <row r="10" spans="1:9" x14ac:dyDescent="0.3">
      <c r="A10" s="1" t="s">
        <v>114</v>
      </c>
      <c r="B10" s="2" t="str">
        <f t="shared" si="0"/>
        <v>100009-100220-009</v>
      </c>
      <c r="C10" s="1" t="s">
        <v>140</v>
      </c>
      <c r="D10" s="1" t="s">
        <v>65</v>
      </c>
      <c r="E10" s="1" t="s">
        <v>24</v>
      </c>
      <c r="F10" s="2" t="str">
        <f t="shared" si="1"/>
        <v>Bill: 100009-100220-009, Item: 1</v>
      </c>
      <c r="G10" s="1" t="s">
        <v>131</v>
      </c>
      <c r="H10" s="1" t="s">
        <v>162</v>
      </c>
      <c r="I10" s="1" t="s">
        <v>162</v>
      </c>
    </row>
    <row r="11" spans="1:9" x14ac:dyDescent="0.3">
      <c r="A11" s="1" t="s">
        <v>115</v>
      </c>
      <c r="B11" s="2" t="str">
        <f t="shared" si="0"/>
        <v>100010-789578-010</v>
      </c>
      <c r="C11" s="1" t="s">
        <v>141</v>
      </c>
      <c r="D11" s="1" t="s">
        <v>69</v>
      </c>
      <c r="E11" s="1" t="s">
        <v>25</v>
      </c>
      <c r="F11" s="2" t="str">
        <f t="shared" si="1"/>
        <v>Bill: 100010-789578-010, Item: 1</v>
      </c>
      <c r="G11" s="1" t="s">
        <v>131</v>
      </c>
      <c r="H11" s="1" t="s">
        <v>155</v>
      </c>
      <c r="I11" s="1" t="s">
        <v>155</v>
      </c>
    </row>
    <row r="12" spans="1:9" x14ac:dyDescent="0.3">
      <c r="A12" s="1" t="s">
        <v>116</v>
      </c>
      <c r="B12" s="2" t="str">
        <f t="shared" si="0"/>
        <v>100011-123238-002</v>
      </c>
      <c r="C12" s="1" t="s">
        <v>142</v>
      </c>
      <c r="D12" s="1" t="s">
        <v>71</v>
      </c>
      <c r="E12" s="1" t="s">
        <v>9</v>
      </c>
      <c r="F12" s="2" t="str">
        <f t="shared" si="1"/>
        <v>Bill: 100011-123238-002, Item: 1</v>
      </c>
      <c r="G12" s="1" t="s">
        <v>131</v>
      </c>
      <c r="H12" s="1" t="s">
        <v>163</v>
      </c>
      <c r="I12" s="1" t="s">
        <v>163</v>
      </c>
    </row>
    <row r="13" spans="1:9" x14ac:dyDescent="0.3">
      <c r="A13" s="1" t="s">
        <v>117</v>
      </c>
      <c r="B13" s="2" t="str">
        <f t="shared" si="0"/>
        <v>100012-782767-008</v>
      </c>
      <c r="C13" s="1" t="s">
        <v>143</v>
      </c>
      <c r="D13" s="1" t="s">
        <v>68</v>
      </c>
      <c r="E13" s="1" t="s">
        <v>23</v>
      </c>
      <c r="F13" s="2" t="str">
        <f t="shared" si="1"/>
        <v>Bill: 100012-782767-008, Item: 1</v>
      </c>
      <c r="G13" s="1" t="s">
        <v>131</v>
      </c>
      <c r="H13" s="1" t="s">
        <v>164</v>
      </c>
      <c r="I13" s="1" t="s">
        <v>164</v>
      </c>
    </row>
    <row r="14" spans="1:9" x14ac:dyDescent="0.3">
      <c r="A14" s="1" t="s">
        <v>118</v>
      </c>
      <c r="B14" s="2" t="str">
        <f t="shared" si="0"/>
        <v>100013-102345-009</v>
      </c>
      <c r="C14" s="1" t="s">
        <v>144</v>
      </c>
      <c r="D14" s="1" t="s">
        <v>64</v>
      </c>
      <c r="E14" s="1" t="s">
        <v>24</v>
      </c>
      <c r="F14" s="2" t="str">
        <f t="shared" si="1"/>
        <v>Bill: 100013-102345-009, Item: 1</v>
      </c>
      <c r="G14" s="1" t="s">
        <v>131</v>
      </c>
      <c r="H14" s="1" t="s">
        <v>165</v>
      </c>
      <c r="I14" s="1" t="s">
        <v>165</v>
      </c>
    </row>
    <row r="15" spans="1:9" x14ac:dyDescent="0.3">
      <c r="A15" s="1" t="s">
        <v>119</v>
      </c>
      <c r="B15" s="2" t="str">
        <f t="shared" si="0"/>
        <v>100014-203748-010</v>
      </c>
      <c r="C15" s="1" t="s">
        <v>145</v>
      </c>
      <c r="D15" s="1" t="s">
        <v>66</v>
      </c>
      <c r="E15" s="1" t="s">
        <v>25</v>
      </c>
      <c r="F15" s="2" t="str">
        <f t="shared" si="1"/>
        <v>Bill: 100014-203748-010, Item: 1</v>
      </c>
      <c r="G15" s="1" t="s">
        <v>131</v>
      </c>
      <c r="H15" s="1" t="s">
        <v>166</v>
      </c>
      <c r="I15" s="1" t="s">
        <v>166</v>
      </c>
    </row>
    <row r="16" spans="1:9" x14ac:dyDescent="0.3">
      <c r="A16" s="1" t="s">
        <v>120</v>
      </c>
      <c r="B16" s="2" t="str">
        <f t="shared" si="0"/>
        <v>100015-203748-007</v>
      </c>
      <c r="C16" s="1" t="s">
        <v>137</v>
      </c>
      <c r="D16" s="1" t="s">
        <v>66</v>
      </c>
      <c r="E16" s="1" t="s">
        <v>20</v>
      </c>
      <c r="F16" s="2" t="str">
        <f>"Bill: " &amp; B16 &amp; ", Item: 3"</f>
        <v>Bill: 100015-203748-007, Item: 3</v>
      </c>
      <c r="G16" s="1" t="s">
        <v>131</v>
      </c>
      <c r="H16" s="1" t="s">
        <v>167</v>
      </c>
      <c r="I16" s="1" t="s">
        <v>167</v>
      </c>
    </row>
    <row r="17" spans="1:9" x14ac:dyDescent="0.3">
      <c r="A17" s="1" t="s">
        <v>121</v>
      </c>
      <c r="B17" s="2" t="str">
        <f t="shared" si="0"/>
        <v>100016-203748-007</v>
      </c>
      <c r="C17" s="1" t="s">
        <v>137</v>
      </c>
      <c r="D17" s="1" t="s">
        <v>66</v>
      </c>
      <c r="E17" s="1" t="s">
        <v>20</v>
      </c>
      <c r="F17" s="2" t="str">
        <f t="shared" si="1"/>
        <v>Bill: 100016-203748-007, Item: 1</v>
      </c>
      <c r="G17" s="1" t="s">
        <v>131</v>
      </c>
      <c r="H17" s="1" t="s">
        <v>168</v>
      </c>
      <c r="I17" s="1" t="s">
        <v>168</v>
      </c>
    </row>
    <row r="18" spans="1:9" x14ac:dyDescent="0.3">
      <c r="A18" s="1" t="s">
        <v>122</v>
      </c>
      <c r="B18" s="2" t="str">
        <f t="shared" si="0"/>
        <v>100017-203748-007</v>
      </c>
      <c r="C18" s="1" t="s">
        <v>137</v>
      </c>
      <c r="D18" s="1" t="s">
        <v>66</v>
      </c>
      <c r="E18" s="1" t="s">
        <v>20</v>
      </c>
      <c r="F18" s="2" t="str">
        <f>"Bill: " &amp; B18 &amp; ", Item: 2"</f>
        <v>Bill: 100017-203748-007, Item: 2</v>
      </c>
      <c r="G18" s="1" t="s">
        <v>131</v>
      </c>
      <c r="H18" s="1" t="s">
        <v>169</v>
      </c>
      <c r="I18" s="1" t="s">
        <v>169</v>
      </c>
    </row>
    <row r="19" spans="1:9" x14ac:dyDescent="0.3">
      <c r="A19" s="1" t="s">
        <v>123</v>
      </c>
      <c r="B19" s="2" t="str">
        <f t="shared" si="0"/>
        <v>100018-123238-002</v>
      </c>
      <c r="C19" s="1" t="s">
        <v>146</v>
      </c>
      <c r="D19" s="1" t="s">
        <v>71</v>
      </c>
      <c r="E19" s="1" t="s">
        <v>9</v>
      </c>
      <c r="F19" s="2" t="str">
        <f t="shared" si="1"/>
        <v>Bill: 100018-123238-002, Item: 1</v>
      </c>
      <c r="G19" s="1" t="s">
        <v>131</v>
      </c>
      <c r="H19" s="1" t="s">
        <v>166</v>
      </c>
      <c r="I19" s="1" t="s">
        <v>166</v>
      </c>
    </row>
    <row r="20" spans="1:9" x14ac:dyDescent="0.3">
      <c r="A20" s="1" t="s">
        <v>124</v>
      </c>
      <c r="B20" s="2" t="str">
        <f t="shared" si="0"/>
        <v>100019-123238-003</v>
      </c>
      <c r="C20" s="1" t="s">
        <v>147</v>
      </c>
      <c r="D20" s="1" t="s">
        <v>71</v>
      </c>
      <c r="E20" s="1" t="s">
        <v>10</v>
      </c>
      <c r="F20" s="2" t="str">
        <f t="shared" si="1"/>
        <v>Bill: 100019-123238-003, Item: 1</v>
      </c>
      <c r="G20" s="1" t="s">
        <v>131</v>
      </c>
      <c r="H20" s="1" t="s">
        <v>170</v>
      </c>
      <c r="I20" s="1" t="s">
        <v>170</v>
      </c>
    </row>
    <row r="21" spans="1:9" x14ac:dyDescent="0.3">
      <c r="A21" s="1" t="s">
        <v>125</v>
      </c>
      <c r="B21" s="2" t="str">
        <f t="shared" si="0"/>
        <v>100020-102345-004</v>
      </c>
      <c r="C21" s="1" t="s">
        <v>148</v>
      </c>
      <c r="D21" s="1" t="s">
        <v>64</v>
      </c>
      <c r="E21" s="1" t="s">
        <v>15</v>
      </c>
      <c r="F21" s="2" t="str">
        <f t="shared" si="1"/>
        <v>Bill: 100020-102345-004, Item: 1</v>
      </c>
      <c r="G21" s="1" t="s">
        <v>131</v>
      </c>
      <c r="H21" s="1" t="s">
        <v>165</v>
      </c>
      <c r="I21" s="1" t="s">
        <v>165</v>
      </c>
    </row>
    <row r="22" spans="1:9" x14ac:dyDescent="0.3">
      <c r="A22" s="1" t="s">
        <v>126</v>
      </c>
      <c r="B22" s="2" t="str">
        <f t="shared" si="0"/>
        <v>100021-100220-001</v>
      </c>
      <c r="C22" s="1" t="s">
        <v>149</v>
      </c>
      <c r="D22" s="1" t="s">
        <v>65</v>
      </c>
      <c r="E22" s="1" t="s">
        <v>8</v>
      </c>
      <c r="F22" s="2" t="str">
        <f t="shared" si="1"/>
        <v>Bill: 100021-100220-001, Item: 1</v>
      </c>
      <c r="G22" s="1" t="s">
        <v>131</v>
      </c>
      <c r="H22" s="1" t="s">
        <v>171</v>
      </c>
      <c r="I22" s="1" t="s">
        <v>171</v>
      </c>
    </row>
    <row r="23" spans="1:9" x14ac:dyDescent="0.3">
      <c r="A23" s="1" t="s">
        <v>127</v>
      </c>
      <c r="B23" s="2" t="str">
        <f t="shared" si="0"/>
        <v>100022-782767-003</v>
      </c>
      <c r="C23" s="1" t="s">
        <v>150</v>
      </c>
      <c r="D23" s="1" t="s">
        <v>68</v>
      </c>
      <c r="E23" s="1" t="s">
        <v>10</v>
      </c>
      <c r="F23" s="2" t="str">
        <f t="shared" si="1"/>
        <v>Bill: 100022-782767-003, Item: 1</v>
      </c>
      <c r="G23" s="1" t="s">
        <v>131</v>
      </c>
      <c r="H23" s="1" t="s">
        <v>172</v>
      </c>
      <c r="I23" s="1" t="s">
        <v>172</v>
      </c>
    </row>
    <row r="24" spans="1:9" x14ac:dyDescent="0.3">
      <c r="A24" s="1" t="s">
        <v>128</v>
      </c>
      <c r="B24" s="2" t="str">
        <f t="shared" si="0"/>
        <v>100023-789578-004</v>
      </c>
      <c r="C24" s="1" t="s">
        <v>151</v>
      </c>
      <c r="D24" s="1" t="s">
        <v>69</v>
      </c>
      <c r="E24" s="1" t="s">
        <v>15</v>
      </c>
      <c r="F24" s="2" t="str">
        <f t="shared" si="1"/>
        <v>Bill: 100023-789578-004, Item: 1</v>
      </c>
      <c r="G24" s="1" t="s">
        <v>131</v>
      </c>
      <c r="H24" s="1" t="s">
        <v>173</v>
      </c>
      <c r="I24" s="1" t="s">
        <v>173</v>
      </c>
    </row>
    <row r="25" spans="1:9" x14ac:dyDescent="0.3">
      <c r="A25" s="1" t="s">
        <v>129</v>
      </c>
      <c r="B25" s="2" t="str">
        <f t="shared" si="0"/>
        <v>100024-324315-005</v>
      </c>
      <c r="C25" s="1" t="s">
        <v>152</v>
      </c>
      <c r="D25" s="1" t="s">
        <v>67</v>
      </c>
      <c r="E25" s="1" t="s">
        <v>16</v>
      </c>
      <c r="F25" s="2" t="str">
        <f t="shared" si="1"/>
        <v>Bill: 100024-324315-005, Item: 1</v>
      </c>
      <c r="G25" s="1" t="s">
        <v>131</v>
      </c>
      <c r="H25" s="1" t="s">
        <v>174</v>
      </c>
      <c r="I25" s="1" t="s">
        <v>174</v>
      </c>
    </row>
    <row r="26" spans="1:9" x14ac:dyDescent="0.3">
      <c r="A26" s="1" t="s">
        <v>130</v>
      </c>
      <c r="B26" s="2" t="str">
        <f t="shared" si="0"/>
        <v>100025-789578-006</v>
      </c>
      <c r="C26" s="1" t="s">
        <v>153</v>
      </c>
      <c r="D26" s="1" t="s">
        <v>69</v>
      </c>
      <c r="E26" s="1" t="s">
        <v>18</v>
      </c>
      <c r="F26" s="2" t="str">
        <f t="shared" si="1"/>
        <v>Bill: 100025-789578-006, Item: 1</v>
      </c>
      <c r="G26" s="1" t="s">
        <v>131</v>
      </c>
      <c r="H26" s="1" t="s">
        <v>175</v>
      </c>
      <c r="I26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</vt:lpstr>
      <vt:lpstr>EMP</vt:lpstr>
      <vt:lpstr>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2025-04-28T17:56:56Z</dcterms:modified>
</cp:coreProperties>
</file>